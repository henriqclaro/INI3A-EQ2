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va de Tempo - PERT" sheetId="1" r:id="rId4"/>
  </sheets>
  <definedNames/>
  <calcPr/>
  <extLst>
    <ext uri="GoogleSheetsCustomDataVersion2">
      <go:sheetsCustomData xmlns:go="http://customooxmlschemas.google.com/" r:id="rId5" roundtripDataChecksum="kXYbsgA8yfmMnJQUK7Ke7tPz6pDM5Ti5ARuGK7WMIKA="/>
    </ext>
  </extLst>
</workbook>
</file>

<file path=xl/sharedStrings.xml><?xml version="1.0" encoding="utf-8"?>
<sst xmlns="http://schemas.openxmlformats.org/spreadsheetml/2006/main" count="87" uniqueCount="68">
  <si>
    <t>Duração (semanas)</t>
  </si>
  <si>
    <t xml:space="preserve">Etapas </t>
  </si>
  <si>
    <t>Otimista</t>
  </si>
  <si>
    <t>Mais Provável</t>
  </si>
  <si>
    <t>Pessimista</t>
  </si>
  <si>
    <t>Estimada</t>
  </si>
  <si>
    <t>1. Iniciação</t>
  </si>
  <si>
    <t>Formação da Equipe e Alinhamento</t>
  </si>
  <si>
    <t>Elaboração do TAP</t>
  </si>
  <si>
    <t>Desenvolvimento do Briefing</t>
  </si>
  <si>
    <t>Construção do BrenchMarking</t>
  </si>
  <si>
    <t>Criação do MoodBoard</t>
  </si>
  <si>
    <t>2. Planejamento</t>
  </si>
  <si>
    <t>Elaboração do EAP, escopo e cronograma</t>
  </si>
  <si>
    <t>Desenvolvimento de protótipos</t>
  </si>
  <si>
    <t>Análise das necessidades do cliente</t>
  </si>
  <si>
    <t>Elaboração do MOSCOW</t>
  </si>
  <si>
    <t>Levantamento de requisitos do sistema</t>
  </si>
  <si>
    <t>3. Execução</t>
  </si>
  <si>
    <t>Desenvolvimento do banco de dados</t>
  </si>
  <si>
    <t>Programação da API (Back-End)</t>
  </si>
  <si>
    <t>Programação Front-End</t>
  </si>
  <si>
    <t>4. Monitoramento</t>
  </si>
  <si>
    <t>Documentação das sprints e acompanhamento</t>
  </si>
  <si>
    <t>Documentação da API</t>
  </si>
  <si>
    <t>Feedback do cliente</t>
  </si>
  <si>
    <t>5. Encerramento</t>
  </si>
  <si>
    <t>Termo de Encerramento do projeto</t>
  </si>
  <si>
    <t>Apresentação do projeto para a banca</t>
  </si>
  <si>
    <t>Avaliação do cliente</t>
  </si>
  <si>
    <t>TOTAL DE SEMANAS</t>
  </si>
  <si>
    <t>CRONOGRAMA DE PROJETO</t>
  </si>
  <si>
    <t>Tarefa</t>
  </si>
  <si>
    <t>Responsável</t>
  </si>
  <si>
    <t>Status</t>
  </si>
  <si>
    <t>Completado</t>
  </si>
  <si>
    <t>Início</t>
  </si>
  <si>
    <t>Duração</t>
  </si>
  <si>
    <t>Término</t>
  </si>
  <si>
    <t>Tabela comparativa de concorrência</t>
  </si>
  <si>
    <t>Sophia</t>
  </si>
  <si>
    <t>Fechada</t>
  </si>
  <si>
    <t>Criação do Repositório e Trello</t>
  </si>
  <si>
    <t>Henrique / Ana Clara</t>
  </si>
  <si>
    <t>Paleta de cores e Modelos de logotipo</t>
  </si>
  <si>
    <t>Todo o grupo / Indiv.</t>
  </si>
  <si>
    <t>Entrevista com cliente, MoodBoard e Logo oficial</t>
  </si>
  <si>
    <t>Rodrigo / Todo o grupo</t>
  </si>
  <si>
    <t>Vetorização da logo e Modelo vetorizado</t>
  </si>
  <si>
    <t>Henrique / Indiv.</t>
  </si>
  <si>
    <t>Transcrição da Entrevista e Levantamento de requisitos</t>
  </si>
  <si>
    <t>Ashley / Rodrigo / Henrique</t>
  </si>
  <si>
    <t>MoSCoW e Apresentação do projeto</t>
  </si>
  <si>
    <t>Todo o grupo</t>
  </si>
  <si>
    <t>Modelagem do Banco de Dados e Mapa do site</t>
  </si>
  <si>
    <t>Backend para Login e Wireframes Mobile</t>
  </si>
  <si>
    <t>Henrique / Todo o grupo</t>
  </si>
  <si>
    <t>Wireframes Web, Implementação de JWT e Mockups</t>
  </si>
  <si>
    <t>Todo o grupo / Henrique</t>
  </si>
  <si>
    <t>Protótipo Figma e 1ª parte da Ficha Técnica</t>
  </si>
  <si>
    <t>Ficha Técnica, Melhorias visuais e Tela de registro</t>
  </si>
  <si>
    <t>Alteração no design da página de Bem-Vindos</t>
  </si>
  <si>
    <t>Criação de e-mail, redes sociais e perfil</t>
  </si>
  <si>
    <t>Ashley</t>
  </si>
  <si>
    <t>Elaboração do post inicial do Instagram</t>
  </si>
  <si>
    <t>No prazo</t>
  </si>
  <si>
    <t>Edição do vídeo comercial</t>
  </si>
  <si>
    <t>Giovanna e Rodrigo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</si>
</sst>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8">
    <font>
      <sz val="10.0"/>
      <color rgb="FF000000"/>
      <name val="Arial"/>
      <scheme val="minor"/>
    </font>
    <font>
      <color theme="1"/>
      <name val="Arial"/>
    </font>
    <font>
      <color rgb="FF40242B"/>
      <name val="Arial"/>
    </font>
    <font>
      <b/>
      <color rgb="FF40242B"/>
      <name val="Arial"/>
    </font>
    <font/>
    <font>
      <b/>
      <color rgb="FFF6EDDC"/>
      <name val="Arial"/>
    </font>
    <font>
      <b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EDDC"/>
        <bgColor rgb="FFF6EDDC"/>
      </patternFill>
    </fill>
    <fill>
      <patternFill patternType="solid">
        <fgColor rgb="FFC53557"/>
        <bgColor rgb="FFC53557"/>
      </patternFill>
    </fill>
    <fill>
      <patternFill patternType="solid">
        <fgColor rgb="FFFBA8AF"/>
        <bgColor rgb="FFFBA8AF"/>
      </patternFill>
    </fill>
    <fill>
      <patternFill patternType="solid">
        <fgColor rgb="FF40242B"/>
        <bgColor rgb="FF40242B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3" fontId="5" numFmtId="0" xfId="0" applyAlignment="1" applyBorder="1" applyFill="1" applyFont="1">
      <alignment horizontal="center" vertical="center"/>
    </xf>
    <xf borderId="12" fillId="4" fontId="3" numFmtId="0" xfId="0" applyAlignment="1" applyBorder="1" applyFill="1" applyFont="1">
      <alignment horizontal="center"/>
    </xf>
    <xf borderId="12" fillId="2" fontId="2" numFmtId="0" xfId="0" applyAlignment="1" applyBorder="1" applyFill="1" applyFont="1">
      <alignment horizontal="center" readingOrder="0"/>
    </xf>
    <xf borderId="12" fillId="2" fontId="2" numFmtId="2" xfId="0" applyAlignment="1" applyBorder="1" applyFill="1" applyFont="1" applyNumberFormat="1">
      <alignment horizontal="center"/>
    </xf>
    <xf borderId="12" fillId="2" fontId="2" numFmtId="164" xfId="0" applyAlignment="1" applyBorder="1" applyFill="1" applyFont="1" applyNumberFormat="1">
      <alignment horizontal="center"/>
    </xf>
    <xf borderId="13" fillId="5" fontId="5" numFmtId="0" xfId="0" applyAlignment="1" applyBorder="1" applyFill="1" applyFont="1">
      <alignment horizontal="center"/>
    </xf>
    <xf borderId="14" fillId="0" fontId="4" numFmtId="0" xfId="0" applyBorder="1" applyFont="1"/>
    <xf borderId="15" fillId="0" fontId="4" numFmtId="0" xfId="0" applyBorder="1" applyFont="1"/>
    <xf borderId="12" fillId="4" fontId="3" numFmtId="2" xfId="0" applyAlignment="1" applyBorder="1" applyFill="1" applyFont="1" applyNumberFormat="1">
      <alignment horizontal="center"/>
    </xf>
    <xf borderId="13" fillId="2" fontId="6" numFmtId="0" xfId="0" applyAlignment="1" applyBorder="1" applyFill="1" applyFont="1">
      <alignment horizontal="center" readingOrder="0"/>
    </xf>
    <xf borderId="12" fillId="4" fontId="1" numFmtId="0" xfId="0" applyAlignment="1" applyBorder="1" applyFill="1" applyFont="1">
      <alignment horizontal="center" readingOrder="0"/>
    </xf>
    <xf borderId="12" fillId="4" fontId="7" numFmtId="0" xfId="0" applyAlignment="1" applyBorder="1" applyFill="1" applyFont="1">
      <alignment horizontal="center" readingOrder="0"/>
    </xf>
    <xf borderId="12" fillId="2" fontId="7" numFmtId="0" xfId="0" applyAlignment="1" applyBorder="1" applyFill="1" applyFont="1">
      <alignment horizontal="center" readingOrder="0"/>
    </xf>
    <xf borderId="12" fillId="2" fontId="7" numFmtId="9" xfId="0" applyAlignment="1" applyBorder="1" applyFill="1" applyFont="1" applyNumberFormat="1">
      <alignment horizontal="center" readingOrder="0"/>
    </xf>
    <xf borderId="12" fillId="2" fontId="7" numFmtId="165" xfId="0" applyAlignment="1" applyBorder="1" applyFill="1" applyFont="1" applyNumberFormat="1">
      <alignment horizontal="center" readingOrder="0"/>
    </xf>
    <xf borderId="0" fillId="0" fontId="7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90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21.38"/>
    <col customWidth="1" min="3" max="3" width="12.13"/>
    <col customWidth="1" min="4" max="6" width="12.63"/>
  </cols>
  <sheetData>
    <row r="1" ht="18.0" customHeight="1">
      <c r="A1" s="1"/>
    </row>
    <row r="2" ht="15.75" customHeight="1">
      <c r="A2" s="2"/>
      <c r="B2" s="3" t="s">
        <v>0</v>
      </c>
      <c r="C2" s="4"/>
      <c r="D2" s="4"/>
      <c r="E2" s="5"/>
    </row>
    <row r="3" ht="15.75" customHeight="1">
      <c r="A3" s="6"/>
      <c r="B3" s="7"/>
      <c r="E3" s="8"/>
    </row>
    <row r="4" ht="15.75" customHeight="1">
      <c r="A4" s="6"/>
      <c r="B4" s="7"/>
      <c r="E4" s="8"/>
    </row>
    <row r="5" ht="15.75" customHeight="1">
      <c r="A5" s="6"/>
      <c r="B5" s="7"/>
      <c r="E5" s="8"/>
    </row>
    <row r="6" ht="15.75" customHeight="1">
      <c r="A6" s="9"/>
      <c r="B6" s="10"/>
      <c r="C6" s="11"/>
      <c r="D6" s="11"/>
      <c r="E6" s="12"/>
    </row>
    <row r="7" ht="19.5" customHeight="1">
      <c r="A7" s="13" t="s">
        <v>1</v>
      </c>
      <c r="B7" s="13" t="s">
        <v>2</v>
      </c>
      <c r="C7" s="13" t="s">
        <v>3</v>
      </c>
      <c r="D7" s="13" t="s">
        <v>4</v>
      </c>
      <c r="E7" s="13" t="s">
        <v>5</v>
      </c>
    </row>
    <row r="8" ht="15.75" customHeight="1">
      <c r="A8" s="14" t="s">
        <v>6</v>
      </c>
      <c r="B8" s="14"/>
      <c r="C8" s="14"/>
      <c r="D8" s="14"/>
      <c r="E8" s="14"/>
    </row>
    <row r="9" ht="15.75" customHeight="1">
      <c r="A9" s="15" t="s">
        <v>7</v>
      </c>
      <c r="B9" s="15">
        <v>1.5</v>
      </c>
      <c r="C9" s="15">
        <v>2.0</v>
      </c>
      <c r="D9" s="15">
        <v>3.0</v>
      </c>
      <c r="E9" s="16">
        <f t="shared" ref="E9:E13" si="1">IFERROR(((4*C9)+SUM(B9,D9))/6,0)</f>
        <v>2.083333333</v>
      </c>
    </row>
    <row r="10" ht="15.75" customHeight="1">
      <c r="A10" s="15" t="s">
        <v>8</v>
      </c>
      <c r="B10" s="15">
        <v>0.5</v>
      </c>
      <c r="C10" s="15">
        <v>1.0</v>
      </c>
      <c r="D10" s="15">
        <v>2.0</v>
      </c>
      <c r="E10" s="16">
        <f t="shared" si="1"/>
        <v>1.083333333</v>
      </c>
    </row>
    <row r="11" ht="15.75" customHeight="1">
      <c r="A11" s="15" t="s">
        <v>9</v>
      </c>
      <c r="B11" s="15">
        <v>0.5</v>
      </c>
      <c r="C11" s="15">
        <v>1.0</v>
      </c>
      <c r="D11" s="15">
        <v>2.0</v>
      </c>
      <c r="E11" s="16">
        <f t="shared" si="1"/>
        <v>1.083333333</v>
      </c>
    </row>
    <row r="12" ht="15.75" customHeight="1">
      <c r="A12" s="15" t="s">
        <v>10</v>
      </c>
      <c r="B12" s="15">
        <v>1.0</v>
      </c>
      <c r="C12" s="15">
        <v>1.0</v>
      </c>
      <c r="D12" s="15">
        <v>2.0</v>
      </c>
      <c r="E12" s="16">
        <f t="shared" si="1"/>
        <v>1.166666667</v>
      </c>
    </row>
    <row r="13" ht="15.75" customHeight="1">
      <c r="A13" s="15" t="s">
        <v>11</v>
      </c>
      <c r="B13" s="15">
        <v>0.5</v>
      </c>
      <c r="C13" s="15">
        <v>1.0</v>
      </c>
      <c r="D13" s="15">
        <v>2.0</v>
      </c>
      <c r="E13" s="16">
        <f t="shared" si="1"/>
        <v>1.083333333</v>
      </c>
    </row>
    <row r="14" ht="15.75" customHeight="1">
      <c r="A14" s="14" t="s">
        <v>12</v>
      </c>
      <c r="B14" s="14"/>
      <c r="C14" s="14"/>
      <c r="D14" s="14"/>
      <c r="E14" s="14"/>
    </row>
    <row r="15" ht="15.75" customHeight="1">
      <c r="A15" s="15" t="s">
        <v>13</v>
      </c>
      <c r="B15" s="15">
        <v>1.5</v>
      </c>
      <c r="C15" s="15">
        <v>2.5</v>
      </c>
      <c r="D15" s="15">
        <v>3.0</v>
      </c>
      <c r="E15" s="17">
        <f t="shared" ref="E15:E19" si="2">IFERROR(((4*C15)+SUM(B15,D15))/6,0)</f>
        <v>2.416666667</v>
      </c>
    </row>
    <row r="16" ht="15.75" customHeight="1">
      <c r="A16" s="15" t="s">
        <v>14</v>
      </c>
      <c r="B16" s="15">
        <v>1.5</v>
      </c>
      <c r="C16" s="15">
        <v>2.0</v>
      </c>
      <c r="D16" s="15">
        <v>3.0</v>
      </c>
      <c r="E16" s="17">
        <f t="shared" si="2"/>
        <v>2.083333333</v>
      </c>
    </row>
    <row r="17" ht="15.75" customHeight="1">
      <c r="A17" s="15" t="s">
        <v>15</v>
      </c>
      <c r="B17" s="15">
        <v>1.0</v>
      </c>
      <c r="C17" s="15">
        <v>2.0</v>
      </c>
      <c r="D17" s="15">
        <v>2.5</v>
      </c>
      <c r="E17" s="17">
        <f t="shared" si="2"/>
        <v>1.916666667</v>
      </c>
    </row>
    <row r="18" ht="15.75" customHeight="1">
      <c r="A18" s="15" t="s">
        <v>16</v>
      </c>
      <c r="B18" s="15">
        <v>1.0</v>
      </c>
      <c r="C18" s="15">
        <v>2.0</v>
      </c>
      <c r="D18" s="15">
        <v>2.5</v>
      </c>
      <c r="E18" s="17">
        <f t="shared" si="2"/>
        <v>1.916666667</v>
      </c>
    </row>
    <row r="19" ht="15.75" customHeight="1">
      <c r="A19" s="15" t="s">
        <v>17</v>
      </c>
      <c r="B19" s="15">
        <v>1.0</v>
      </c>
      <c r="C19" s="15">
        <v>1.5</v>
      </c>
      <c r="D19" s="15">
        <v>2.0</v>
      </c>
      <c r="E19" s="17">
        <f t="shared" si="2"/>
        <v>1.5</v>
      </c>
    </row>
    <row r="20" ht="15.75" customHeight="1">
      <c r="A20" s="14" t="s">
        <v>18</v>
      </c>
      <c r="B20" s="14"/>
      <c r="C20" s="14"/>
      <c r="D20" s="14"/>
      <c r="E20" s="14"/>
    </row>
    <row r="21" ht="15.75" customHeight="1">
      <c r="A21" s="15" t="s">
        <v>19</v>
      </c>
      <c r="B21" s="15">
        <v>1.5</v>
      </c>
      <c r="C21" s="15">
        <v>2.5</v>
      </c>
      <c r="D21" s="15">
        <v>4.0</v>
      </c>
      <c r="E21" s="17">
        <f t="shared" ref="E21:E23" si="3">IFERROR(((4*C21)+SUM(B21,D21))/6,0)</f>
        <v>2.583333333</v>
      </c>
    </row>
    <row r="22" ht="15.75" customHeight="1">
      <c r="A22" s="15" t="s">
        <v>20</v>
      </c>
      <c r="B22" s="15">
        <v>3.0</v>
      </c>
      <c r="C22" s="15">
        <v>5.0</v>
      </c>
      <c r="D22" s="15">
        <v>8.0</v>
      </c>
      <c r="E22" s="17">
        <f t="shared" si="3"/>
        <v>5.166666667</v>
      </c>
    </row>
    <row r="23" ht="15.75" customHeight="1">
      <c r="A23" s="15" t="s">
        <v>21</v>
      </c>
      <c r="B23" s="15">
        <v>3.0</v>
      </c>
      <c r="C23" s="15">
        <v>4.0</v>
      </c>
      <c r="D23" s="15">
        <v>8.0</v>
      </c>
      <c r="E23" s="17">
        <f t="shared" si="3"/>
        <v>4.5</v>
      </c>
    </row>
    <row r="24" ht="15.75" customHeight="1">
      <c r="A24" s="14" t="s">
        <v>22</v>
      </c>
      <c r="B24" s="14"/>
      <c r="C24" s="14"/>
      <c r="D24" s="14"/>
      <c r="E24" s="14"/>
    </row>
    <row r="25" ht="15.75" customHeight="1">
      <c r="A25" s="15" t="s">
        <v>23</v>
      </c>
      <c r="B25" s="15">
        <v>0.2</v>
      </c>
      <c r="C25" s="15">
        <v>0.4</v>
      </c>
      <c r="D25" s="15">
        <v>1.0</v>
      </c>
      <c r="E25" s="17">
        <f t="shared" ref="E25:E27" si="4">IFERROR(((4*C25)+SUM(B25,D25))/6,0)</f>
        <v>0.4666666667</v>
      </c>
    </row>
    <row r="26" ht="15.75" customHeight="1">
      <c r="A26" s="15" t="s">
        <v>24</v>
      </c>
      <c r="B26" s="15">
        <v>0.5</v>
      </c>
      <c r="C26" s="15">
        <v>1.0</v>
      </c>
      <c r="D26" s="15">
        <v>2.0</v>
      </c>
      <c r="E26" s="17">
        <f t="shared" si="4"/>
        <v>1.083333333</v>
      </c>
    </row>
    <row r="27" ht="15.75" customHeight="1">
      <c r="A27" s="15" t="s">
        <v>25</v>
      </c>
      <c r="B27" s="15">
        <v>1.0</v>
      </c>
      <c r="C27" s="15">
        <v>1.5</v>
      </c>
      <c r="D27" s="15">
        <v>2.0</v>
      </c>
      <c r="E27" s="17">
        <f t="shared" si="4"/>
        <v>1.5</v>
      </c>
    </row>
    <row r="28" ht="15.75" customHeight="1">
      <c r="A28" s="14" t="s">
        <v>26</v>
      </c>
      <c r="B28" s="14"/>
      <c r="C28" s="14"/>
      <c r="D28" s="14"/>
      <c r="E28" s="14"/>
    </row>
    <row r="29" ht="15.75" customHeight="1">
      <c r="A29" s="15" t="s">
        <v>27</v>
      </c>
      <c r="B29" s="15">
        <v>1.0</v>
      </c>
      <c r="C29" s="15">
        <v>2.0</v>
      </c>
      <c r="D29" s="15">
        <v>3.0</v>
      </c>
      <c r="E29" s="17">
        <f t="shared" ref="E29:E31" si="5">IFERROR(((4*C29)+SUM(B29,D29))/6,0)</f>
        <v>2</v>
      </c>
    </row>
    <row r="30" ht="15.75" customHeight="1">
      <c r="A30" s="15" t="s">
        <v>28</v>
      </c>
      <c r="B30" s="15">
        <v>0.2</v>
      </c>
      <c r="C30" s="15">
        <v>0.3</v>
      </c>
      <c r="D30" s="15">
        <v>0.5</v>
      </c>
      <c r="E30" s="17">
        <f t="shared" si="5"/>
        <v>0.3166666667</v>
      </c>
    </row>
    <row r="31" ht="15.75" customHeight="1">
      <c r="A31" s="15" t="s">
        <v>29</v>
      </c>
      <c r="B31" s="15">
        <v>0.5</v>
      </c>
      <c r="C31" s="15">
        <v>1.0</v>
      </c>
      <c r="D31" s="15">
        <v>2.0</v>
      </c>
      <c r="E31" s="17">
        <f t="shared" si="5"/>
        <v>1.083333333</v>
      </c>
    </row>
    <row r="32" ht="15.75" customHeight="1">
      <c r="A32" s="18" t="s">
        <v>30</v>
      </c>
      <c r="B32" s="19"/>
      <c r="C32" s="19"/>
      <c r="D32" s="20"/>
      <c r="E32" s="21">
        <f>SUM(E9:E31)</f>
        <v>35.03333333</v>
      </c>
    </row>
    <row r="33" ht="15.75" customHeight="1">
      <c r="A33" s="1"/>
    </row>
    <row r="34" ht="15.75" customHeight="1">
      <c r="A34" s="1"/>
    </row>
    <row r="35" ht="15.75" customHeight="1">
      <c r="A35" s="22" t="s">
        <v>31</v>
      </c>
      <c r="B35" s="19"/>
      <c r="C35" s="19"/>
      <c r="D35" s="19"/>
      <c r="E35" s="19"/>
      <c r="F35" s="19"/>
      <c r="G35" s="20"/>
    </row>
    <row r="36" ht="15.75" customHeight="1">
      <c r="A36" s="23" t="s">
        <v>32</v>
      </c>
      <c r="B36" s="24" t="s">
        <v>33</v>
      </c>
      <c r="C36" s="24" t="s">
        <v>34</v>
      </c>
      <c r="D36" s="24" t="s">
        <v>35</v>
      </c>
      <c r="E36" s="24" t="s">
        <v>36</v>
      </c>
      <c r="F36" s="24" t="s">
        <v>37</v>
      </c>
      <c r="G36" s="24" t="s">
        <v>38</v>
      </c>
    </row>
    <row r="37" ht="15.75" customHeight="1">
      <c r="A37" s="25" t="s">
        <v>39</v>
      </c>
      <c r="B37" s="25" t="s">
        <v>40</v>
      </c>
      <c r="C37" s="25" t="s">
        <v>41</v>
      </c>
      <c r="D37" s="26">
        <v>1.0</v>
      </c>
      <c r="E37" s="27">
        <v>46077.0</v>
      </c>
      <c r="F37" s="25">
        <v>14.0</v>
      </c>
      <c r="G37" s="27">
        <v>46091.0</v>
      </c>
      <c r="H37" s="28"/>
    </row>
    <row r="38" ht="15.75" customHeight="1">
      <c r="A38" s="25" t="s">
        <v>42</v>
      </c>
      <c r="B38" s="25" t="s">
        <v>43</v>
      </c>
      <c r="C38" s="25" t="s">
        <v>41</v>
      </c>
      <c r="D38" s="26">
        <v>1.0</v>
      </c>
      <c r="E38" s="27">
        <v>46077.0</v>
      </c>
      <c r="F38" s="25">
        <v>14.0</v>
      </c>
      <c r="G38" s="27">
        <v>46091.0</v>
      </c>
    </row>
    <row r="39" ht="15.75" customHeight="1">
      <c r="A39" s="25" t="s">
        <v>44</v>
      </c>
      <c r="B39" s="25" t="s">
        <v>45</v>
      </c>
      <c r="C39" s="25" t="s">
        <v>41</v>
      </c>
      <c r="D39" s="26">
        <v>1.0</v>
      </c>
      <c r="E39" s="27">
        <v>46091.0</v>
      </c>
      <c r="F39" s="25">
        <v>14.0</v>
      </c>
      <c r="G39" s="27">
        <v>46105.0</v>
      </c>
    </row>
    <row r="40" ht="15.75" customHeight="1">
      <c r="A40" s="25" t="s">
        <v>46</v>
      </c>
      <c r="B40" s="25" t="s">
        <v>47</v>
      </c>
      <c r="C40" s="25" t="s">
        <v>41</v>
      </c>
      <c r="D40" s="26">
        <v>1.0</v>
      </c>
      <c r="E40" s="27">
        <v>46105.0</v>
      </c>
      <c r="F40" s="25">
        <v>14.0</v>
      </c>
      <c r="G40" s="27">
        <v>46119.0</v>
      </c>
    </row>
    <row r="41" ht="15.75" customHeight="1">
      <c r="A41" s="25" t="s">
        <v>48</v>
      </c>
      <c r="B41" s="25" t="s">
        <v>49</v>
      </c>
      <c r="C41" s="25" t="s">
        <v>41</v>
      </c>
      <c r="D41" s="26">
        <v>1.0</v>
      </c>
      <c r="E41" s="27">
        <v>46105.0</v>
      </c>
      <c r="F41" s="25">
        <v>14.0</v>
      </c>
      <c r="G41" s="27">
        <v>46119.0</v>
      </c>
    </row>
    <row r="42" ht="15.75" customHeight="1">
      <c r="A42" s="25" t="s">
        <v>50</v>
      </c>
      <c r="B42" s="25" t="s">
        <v>51</v>
      </c>
      <c r="C42" s="25" t="s">
        <v>41</v>
      </c>
      <c r="D42" s="26">
        <v>1.0</v>
      </c>
      <c r="E42" s="27">
        <v>46119.0</v>
      </c>
      <c r="F42" s="25">
        <v>14.0</v>
      </c>
      <c r="G42" s="27">
        <v>46133.0</v>
      </c>
    </row>
    <row r="43" ht="15.75" customHeight="1">
      <c r="A43" s="25" t="s">
        <v>52</v>
      </c>
      <c r="B43" s="25" t="s">
        <v>53</v>
      </c>
      <c r="C43" s="25" t="s">
        <v>41</v>
      </c>
      <c r="D43" s="26">
        <v>1.0</v>
      </c>
      <c r="E43" s="27">
        <v>46119.0</v>
      </c>
      <c r="F43" s="25">
        <v>14.0</v>
      </c>
      <c r="G43" s="27">
        <v>46133.0</v>
      </c>
    </row>
    <row r="44" ht="15.75" customHeight="1">
      <c r="A44" s="25" t="s">
        <v>54</v>
      </c>
      <c r="B44" s="25" t="s">
        <v>53</v>
      </c>
      <c r="C44" s="25" t="s">
        <v>41</v>
      </c>
      <c r="D44" s="26">
        <v>1.0</v>
      </c>
      <c r="E44" s="27">
        <v>46133.0</v>
      </c>
      <c r="F44" s="25">
        <v>14.0</v>
      </c>
      <c r="G44" s="27">
        <v>46147.0</v>
      </c>
    </row>
    <row r="45" ht="15.75" customHeight="1">
      <c r="A45" s="25" t="s">
        <v>55</v>
      </c>
      <c r="B45" s="25" t="s">
        <v>56</v>
      </c>
      <c r="C45" s="25" t="s">
        <v>41</v>
      </c>
      <c r="D45" s="26">
        <v>1.0</v>
      </c>
      <c r="E45" s="27">
        <v>46133.0</v>
      </c>
      <c r="F45" s="25">
        <v>14.0</v>
      </c>
      <c r="G45" s="27">
        <v>46147.0</v>
      </c>
    </row>
    <row r="46" ht="15.75" customHeight="1">
      <c r="A46" s="25" t="s">
        <v>57</v>
      </c>
      <c r="B46" s="25" t="s">
        <v>58</v>
      </c>
      <c r="C46" s="25" t="s">
        <v>41</v>
      </c>
      <c r="D46" s="26">
        <v>1.0</v>
      </c>
      <c r="E46" s="27">
        <v>46147.0</v>
      </c>
      <c r="F46" s="25">
        <v>14.0</v>
      </c>
      <c r="G46" s="27">
        <v>46161.0</v>
      </c>
    </row>
    <row r="47" ht="15.75" customHeight="1">
      <c r="A47" s="25" t="s">
        <v>59</v>
      </c>
      <c r="B47" s="25" t="s">
        <v>53</v>
      </c>
      <c r="C47" s="25" t="s">
        <v>41</v>
      </c>
      <c r="D47" s="26">
        <v>1.0</v>
      </c>
      <c r="E47" s="27">
        <v>46161.0</v>
      </c>
      <c r="F47" s="25">
        <v>14.0</v>
      </c>
      <c r="G47" s="27">
        <v>46175.0</v>
      </c>
    </row>
    <row r="48" ht="15.75" customHeight="1">
      <c r="A48" s="25" t="s">
        <v>60</v>
      </c>
      <c r="B48" s="25" t="s">
        <v>53</v>
      </c>
      <c r="C48" s="25" t="s">
        <v>41</v>
      </c>
      <c r="D48" s="26">
        <v>1.0</v>
      </c>
      <c r="E48" s="27">
        <v>46231.0</v>
      </c>
      <c r="F48" s="25">
        <v>14.0</v>
      </c>
      <c r="G48" s="27">
        <v>46244.0</v>
      </c>
    </row>
    <row r="49" ht="15.75" customHeight="1">
      <c r="A49" s="25" t="s">
        <v>61</v>
      </c>
      <c r="B49" s="25" t="s">
        <v>40</v>
      </c>
      <c r="C49" s="25" t="s">
        <v>41</v>
      </c>
      <c r="D49" s="26">
        <v>1.0</v>
      </c>
      <c r="E49" s="27">
        <v>46245.0</v>
      </c>
      <c r="F49" s="25">
        <v>3.0</v>
      </c>
      <c r="G49" s="27">
        <v>46248.0</v>
      </c>
    </row>
    <row r="50" ht="15.75" customHeight="1">
      <c r="A50" s="25" t="s">
        <v>62</v>
      </c>
      <c r="B50" s="25" t="s">
        <v>63</v>
      </c>
      <c r="C50" s="25" t="s">
        <v>41</v>
      </c>
      <c r="D50" s="26">
        <v>1.0</v>
      </c>
      <c r="E50" s="27">
        <v>46254.0</v>
      </c>
      <c r="F50" s="25">
        <v>8.0</v>
      </c>
      <c r="G50" s="27">
        <v>46262.0</v>
      </c>
    </row>
    <row r="51" ht="15.75" customHeight="1">
      <c r="A51" s="25" t="s">
        <v>64</v>
      </c>
      <c r="B51" s="25" t="s">
        <v>40</v>
      </c>
      <c r="C51" s="25" t="s">
        <v>65</v>
      </c>
      <c r="D51" s="26">
        <v>0.9</v>
      </c>
      <c r="E51" s="27">
        <v>46259.0</v>
      </c>
      <c r="F51" s="25">
        <v>4.0</v>
      </c>
      <c r="G51" s="27">
        <v>46263.0</v>
      </c>
    </row>
    <row r="52" ht="15.75" customHeight="1">
      <c r="A52" s="25" t="s">
        <v>66</v>
      </c>
      <c r="B52" s="25" t="s">
        <v>67</v>
      </c>
      <c r="C52" s="25" t="s">
        <v>65</v>
      </c>
      <c r="D52" s="26">
        <v>0.9</v>
      </c>
      <c r="E52" s="27">
        <v>46259.0</v>
      </c>
      <c r="F52" s="25">
        <v>6.0</v>
      </c>
      <c r="G52" s="27">
        <v>46265.0</v>
      </c>
    </row>
    <row r="53" ht="15.75" customHeight="1"/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A2:A6"/>
    <mergeCell ref="B2:E6"/>
    <mergeCell ref="A32:D32"/>
    <mergeCell ref="A35:G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